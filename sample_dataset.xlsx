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mmerce Orders" sheetId="1" state="visible" r:id="rId3"/>
    <sheet name="IT Solution Clients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<sst xmlns="http://schemas.openxmlformats.org/spreadsheetml/2006/main" count="505" uniqueCount="372">
  <si>
    <t xml:space="preserve">🛒  ECOMMERCE SAMPLE DATASET — hariniselvan-bot.github.io/ecom</t>
  </si>
  <si>
    <t xml:space="preserve">Order ID</t>
  </si>
  <si>
    <t xml:space="preserve">Order Date</t>
  </si>
  <si>
    <t xml:space="preserve">Customer Name</t>
  </si>
  <si>
    <t xml:space="preserve">Email</t>
  </si>
  <si>
    <t xml:space="preserve">Phone</t>
  </si>
  <si>
    <t xml:space="preserve">City</t>
  </si>
  <si>
    <t xml:space="preserve">State</t>
  </si>
  <si>
    <t xml:space="preserve">Category</t>
  </si>
  <si>
    <t xml:space="preserve">Product Name</t>
  </si>
  <si>
    <t xml:space="preserve">SKU</t>
  </si>
  <si>
    <t xml:space="preserve">Qty</t>
  </si>
  <si>
    <t xml:space="preserve">Unit Price (₹)</t>
  </si>
  <si>
    <t xml:space="preserve">Total (₹)</t>
  </si>
  <si>
    <t xml:space="preserve">Status</t>
  </si>
  <si>
    <t xml:space="preserve">ORD-1001</t>
  </si>
  <si>
    <t xml:space="preserve">2025-01-05</t>
  </si>
  <si>
    <t xml:space="preserve">Priya Ramesh</t>
  </si>
  <si>
    <t xml:space="preserve">priya.ramesh@gmail.com</t>
  </si>
  <si>
    <t xml:space="preserve">9876543210</t>
  </si>
  <si>
    <t xml:space="preserve">Chennai</t>
  </si>
  <si>
    <t xml:space="preserve">Tamil Nadu</t>
  </si>
  <si>
    <t xml:space="preserve">Electronics</t>
  </si>
  <si>
    <t xml:space="preserve">boAt Airdopes 141</t>
  </si>
  <si>
    <t xml:space="preserve">BOAT-AIR-141</t>
  </si>
  <si>
    <t xml:space="preserve">Delivered</t>
  </si>
  <si>
    <t xml:space="preserve">ORD-1002</t>
  </si>
  <si>
    <t xml:space="preserve">2025-01-08</t>
  </si>
  <si>
    <t xml:space="preserve">Karthik Suresh</t>
  </si>
  <si>
    <t xml:space="preserve">karthik.s@yahoo.com</t>
  </si>
  <si>
    <t xml:space="preserve">9123456780</t>
  </si>
  <si>
    <t xml:space="preserve">Coimbatore</t>
  </si>
  <si>
    <t xml:space="preserve">Fashion</t>
  </si>
  <si>
    <t xml:space="preserve">Levis 511 Slim Jeans</t>
  </si>
  <si>
    <t xml:space="preserve">LEV-511-32</t>
  </si>
  <si>
    <t xml:space="preserve">ORD-1003</t>
  </si>
  <si>
    <t xml:space="preserve">2025-01-12</t>
  </si>
  <si>
    <t xml:space="preserve">Anitha Balan</t>
  </si>
  <si>
    <t xml:space="preserve">anitha.balan@outlook.com</t>
  </si>
  <si>
    <t xml:space="preserve">8765432190</t>
  </si>
  <si>
    <t xml:space="preserve">Bangalore</t>
  </si>
  <si>
    <t xml:space="preserve">Karnataka</t>
  </si>
  <si>
    <t xml:space="preserve">Home &amp; Kitchen</t>
  </si>
  <si>
    <t xml:space="preserve">Prestige Induction Cooktop</t>
  </si>
  <si>
    <t xml:space="preserve">PRES-IC-01</t>
  </si>
  <si>
    <t xml:space="preserve">Shipped</t>
  </si>
  <si>
    <t xml:space="preserve">ORD-1004</t>
  </si>
  <si>
    <t xml:space="preserve">2025-01-15</t>
  </si>
  <si>
    <t xml:space="preserve">Rajesh Kumar</t>
  </si>
  <si>
    <t xml:space="preserve">rajesh.k@gmail.com</t>
  </si>
  <si>
    <t xml:space="preserve">9988776655</t>
  </si>
  <si>
    <t xml:space="preserve">Hyderabad</t>
  </si>
  <si>
    <t xml:space="preserve">Telangana</t>
  </si>
  <si>
    <t xml:space="preserve">Realme Narzo 70 Pro</t>
  </si>
  <si>
    <t xml:space="preserve">REAL-N70P</t>
  </si>
  <si>
    <t xml:space="preserve">Processing</t>
  </si>
  <si>
    <t xml:space="preserve">ORD-1005</t>
  </si>
  <si>
    <t xml:space="preserve">2025-01-18</t>
  </si>
  <si>
    <t xml:space="preserve">Divya Nair</t>
  </si>
  <si>
    <t xml:space="preserve">divya.nair@gmail.com</t>
  </si>
  <si>
    <t xml:space="preserve">9870654321</t>
  </si>
  <si>
    <t xml:space="preserve">Kochi</t>
  </si>
  <si>
    <t xml:space="preserve">Kerala</t>
  </si>
  <si>
    <t xml:space="preserve">Beauty</t>
  </si>
  <si>
    <t xml:space="preserve">Lakme CC Cream SPF 30</t>
  </si>
  <si>
    <t xml:space="preserve">LAK-CC-30</t>
  </si>
  <si>
    <t xml:space="preserve">ORD-1006</t>
  </si>
  <si>
    <t xml:space="preserve">2025-01-22</t>
  </si>
  <si>
    <t xml:space="preserve">Sanjay Patel</t>
  </si>
  <si>
    <t xml:space="preserve">sanjay.patel@hotmail.com</t>
  </si>
  <si>
    <t xml:space="preserve">9765432108</t>
  </si>
  <si>
    <t xml:space="preserve">Ahmedabad</t>
  </si>
  <si>
    <t xml:space="preserve">Gujarat</t>
  </si>
  <si>
    <t xml:space="preserve">Sports</t>
  </si>
  <si>
    <t xml:space="preserve">Yonex Badminton Racket</t>
  </si>
  <si>
    <t xml:space="preserve">YON-BAD-01</t>
  </si>
  <si>
    <t xml:space="preserve">ORD-1007</t>
  </si>
  <si>
    <t xml:space="preserve">2025-01-25</t>
  </si>
  <si>
    <t xml:space="preserve">Meena Krishnan</t>
  </si>
  <si>
    <t xml:space="preserve">meena.k@gmail.com</t>
  </si>
  <si>
    <t xml:space="preserve">9654321087</t>
  </si>
  <si>
    <t xml:space="preserve">Madurai</t>
  </si>
  <si>
    <t xml:space="preserve">Books</t>
  </si>
  <si>
    <t xml:space="preserve">Python Programming - O'Reilly</t>
  </si>
  <si>
    <t xml:space="preserve">BK-PY-ORL</t>
  </si>
  <si>
    <t xml:space="preserve">ORD-1008</t>
  </si>
  <si>
    <t xml:space="preserve">2025-01-28</t>
  </si>
  <si>
    <t xml:space="preserve">Vijay Sharma</t>
  </si>
  <si>
    <t xml:space="preserve">vijay.sharma@gmail.com</t>
  </si>
  <si>
    <t xml:space="preserve">9543210876</t>
  </si>
  <si>
    <t xml:space="preserve">Mumbai</t>
  </si>
  <si>
    <t xml:space="preserve">Maharashtra</t>
  </si>
  <si>
    <t xml:space="preserve">Sony WH-1000XM5 Headphones</t>
  </si>
  <si>
    <t xml:space="preserve">SONY-WH5</t>
  </si>
  <si>
    <t xml:space="preserve">Cancelled</t>
  </si>
  <si>
    <t xml:space="preserve">ORD-1009</t>
  </si>
  <si>
    <t xml:space="preserve">2025-02-02</t>
  </si>
  <si>
    <t xml:space="preserve">Lakshmi Rajan</t>
  </si>
  <si>
    <t xml:space="preserve">lakshmi.r@gmail.com</t>
  </si>
  <si>
    <t xml:space="preserve">9432109765</t>
  </si>
  <si>
    <t xml:space="preserve">Trichy</t>
  </si>
  <si>
    <t xml:space="preserve">Milton Thermosteel Flask</t>
  </si>
  <si>
    <t xml:space="preserve">MIL-TF-1L</t>
  </si>
  <si>
    <t xml:space="preserve">ORD-1010</t>
  </si>
  <si>
    <t xml:space="preserve">2025-02-05</t>
  </si>
  <si>
    <t xml:space="preserve">Suresh Babu</t>
  </si>
  <si>
    <t xml:space="preserve">suresh.babu@yahoo.com</t>
  </si>
  <si>
    <t xml:space="preserve">9321098654</t>
  </si>
  <si>
    <t xml:space="preserve">Pune</t>
  </si>
  <si>
    <t xml:space="preserve">Nike Air Max 270</t>
  </si>
  <si>
    <t xml:space="preserve">NIK-AM270-9</t>
  </si>
  <si>
    <t xml:space="preserve">ORD-1011</t>
  </si>
  <si>
    <t xml:space="preserve">2025-02-09</t>
  </si>
  <si>
    <t xml:space="preserve">Kavitha Raj</t>
  </si>
  <si>
    <t xml:space="preserve">kavitha.raj@gmail.com</t>
  </si>
  <si>
    <t xml:space="preserve">9210987543</t>
  </si>
  <si>
    <t xml:space="preserve">Salem</t>
  </si>
  <si>
    <t xml:space="preserve">Zebronics Bluetooth Speaker</t>
  </si>
  <si>
    <t xml:space="preserve">ZEB-BT-100</t>
  </si>
  <si>
    <t xml:space="preserve">ORD-1012</t>
  </si>
  <si>
    <t xml:space="preserve">2025-02-12</t>
  </si>
  <si>
    <t xml:space="preserve">Arun Selvam</t>
  </si>
  <si>
    <t xml:space="preserve">arun.selvam@outlook.com</t>
  </si>
  <si>
    <t xml:space="preserve">9109876432</t>
  </si>
  <si>
    <t xml:space="preserve">Dove Body Lotion 400ml</t>
  </si>
  <si>
    <t xml:space="preserve">DOV-BL-400</t>
  </si>
  <si>
    <t xml:space="preserve">ORD-1013</t>
  </si>
  <si>
    <t xml:space="preserve">2025-02-15</t>
  </si>
  <si>
    <t xml:space="preserve">Pooja Singh</t>
  </si>
  <si>
    <t xml:space="preserve">pooja.singh@gmail.com</t>
  </si>
  <si>
    <t xml:space="preserve">9098765321</t>
  </si>
  <si>
    <t xml:space="preserve">Delhi</t>
  </si>
  <si>
    <t xml:space="preserve">Biba Ethnic Kurta</t>
  </si>
  <si>
    <t xml:space="preserve">BIB-KUR-M</t>
  </si>
  <si>
    <t xml:space="preserve">ORD-1014</t>
  </si>
  <si>
    <t xml:space="preserve">2025-02-18</t>
  </si>
  <si>
    <t xml:space="preserve">Manoj Verma</t>
  </si>
  <si>
    <t xml:space="preserve">manoj.verma@gmail.com</t>
  </si>
  <si>
    <t xml:space="preserve">8987654210</t>
  </si>
  <si>
    <t xml:space="preserve">Lucknow</t>
  </si>
  <si>
    <t xml:space="preserve">Uttar Pradesh</t>
  </si>
  <si>
    <t xml:space="preserve">Redmi 13C 5G</t>
  </si>
  <si>
    <t xml:space="preserve">RED-13C-128</t>
  </si>
  <si>
    <t xml:space="preserve">ORD-1015</t>
  </si>
  <si>
    <t xml:space="preserve">2025-02-22</t>
  </si>
  <si>
    <t xml:space="preserve">Sneha Pillai</t>
  </si>
  <si>
    <t xml:space="preserve">sneha.pillai@gmail.com</t>
  </si>
  <si>
    <t xml:space="preserve">8876543109</t>
  </si>
  <si>
    <t xml:space="preserve">Trivandrum</t>
  </si>
  <si>
    <t xml:space="preserve">Borosil Glass Set 6pcs</t>
  </si>
  <si>
    <t xml:space="preserve">BOR-GS-6</t>
  </si>
  <si>
    <t xml:space="preserve">Returned</t>
  </si>
  <si>
    <t xml:space="preserve">ORD-1016</t>
  </si>
  <si>
    <t xml:space="preserve">2025-03-01</t>
  </si>
  <si>
    <t xml:space="preserve">Deepak Iyer</t>
  </si>
  <si>
    <t xml:space="preserve">deepak.iyer@gmail.com</t>
  </si>
  <si>
    <t xml:space="preserve">8765432098</t>
  </si>
  <si>
    <t xml:space="preserve">Decathlon Yoga Mat</t>
  </si>
  <si>
    <t xml:space="preserve">DEC-YM-6MM</t>
  </si>
  <si>
    <t xml:space="preserve">ORD-1017</t>
  </si>
  <si>
    <t xml:space="preserve">2025-03-05</t>
  </si>
  <si>
    <t xml:space="preserve">Rithika Mohan</t>
  </si>
  <si>
    <t xml:space="preserve">rithika.m@gmail.com</t>
  </si>
  <si>
    <t xml:space="preserve">8654320987</t>
  </si>
  <si>
    <t xml:space="preserve">Clean Code - Robert Martin</t>
  </si>
  <si>
    <t xml:space="preserve">BK-CC-RM</t>
  </si>
  <si>
    <t xml:space="preserve">ORD-1018</t>
  </si>
  <si>
    <t xml:space="preserve">2025-03-08</t>
  </si>
  <si>
    <t xml:space="preserve">Naveen Kumar</t>
  </si>
  <si>
    <t xml:space="preserve">naveen.k@hotmail.com</t>
  </si>
  <si>
    <t xml:space="preserve">8543219876</t>
  </si>
  <si>
    <t xml:space="preserve">HP Pavilion Laptop 15</t>
  </si>
  <si>
    <t xml:space="preserve">HP-PAV-15</t>
  </si>
  <si>
    <t xml:space="preserve">ORD-1019</t>
  </si>
  <si>
    <t xml:space="preserve">2025-03-12</t>
  </si>
  <si>
    <t xml:space="preserve">Asha Thomas</t>
  </si>
  <si>
    <t xml:space="preserve">asha.thomas@gmail.com</t>
  </si>
  <si>
    <t xml:space="preserve">8432108765</t>
  </si>
  <si>
    <t xml:space="preserve">Neutrogena Face Wash</t>
  </si>
  <si>
    <t xml:space="preserve">NEU-FW-200</t>
  </si>
  <si>
    <t xml:space="preserve">ORD-1020</t>
  </si>
  <si>
    <t xml:space="preserve">2025-03-15</t>
  </si>
  <si>
    <t xml:space="preserve">Balaji Ravi</t>
  </si>
  <si>
    <t xml:space="preserve">balaji.ravi@gmail.com</t>
  </si>
  <si>
    <t xml:space="preserve">8321097654</t>
  </si>
  <si>
    <t xml:space="preserve">Van Heusen Formal Shirt</t>
  </si>
  <si>
    <t xml:space="preserve">VH-FS-41</t>
  </si>
  <si>
    <t xml:space="preserve">TOTAL</t>
  </si>
  <si>
    <t xml:space="preserve">💻  IT SOLUTION SAMPLE DATASET — mathumuthu.github.io &amp; navaneethan733.github.io</t>
  </si>
  <si>
    <t xml:space="preserve">Client ID</t>
  </si>
  <si>
    <t xml:space="preserve">Company Name</t>
  </si>
  <si>
    <t xml:space="preserve">Contact Person</t>
  </si>
  <si>
    <t xml:space="preserve">Service Type</t>
  </si>
  <si>
    <t xml:space="preserve">Project Title</t>
  </si>
  <si>
    <t xml:space="preserve">Start Date</t>
  </si>
  <si>
    <t xml:space="preserve">End Date</t>
  </si>
  <si>
    <t xml:space="preserve">Budget (₹)</t>
  </si>
  <si>
    <t xml:space="preserve">Rating</t>
  </si>
  <si>
    <t xml:space="preserve">CLT-001</t>
  </si>
  <si>
    <t xml:space="preserve">TechNova Pvt Ltd</t>
  </si>
  <si>
    <t xml:space="preserve">Arun Kumar</t>
  </si>
  <si>
    <t xml:space="preserve">arun.kumar@technova.in</t>
  </si>
  <si>
    <t xml:space="preserve">9876501234</t>
  </si>
  <si>
    <t xml:space="preserve">Web Development</t>
  </si>
  <si>
    <t xml:space="preserve">Corporate Website Redesign</t>
  </si>
  <si>
    <t xml:space="preserve">2025-01-10</t>
  </si>
  <si>
    <t xml:space="preserve">2025-03-10</t>
  </si>
  <si>
    <t xml:space="preserve">Completed</t>
  </si>
  <si>
    <t xml:space="preserve">★★★★★</t>
  </si>
  <si>
    <t xml:space="preserve">CLT-002</t>
  </si>
  <si>
    <t xml:space="preserve">Bright Minds Edu</t>
  </si>
  <si>
    <t xml:space="preserve">Preethi Rajan</t>
  </si>
  <si>
    <t xml:space="preserve">preethi@brightminds.edu</t>
  </si>
  <si>
    <t xml:space="preserve">9765401233</t>
  </si>
  <si>
    <t xml:space="preserve">Mobile App</t>
  </si>
  <si>
    <t xml:space="preserve">Student Learning App (Android+iOS)</t>
  </si>
  <si>
    <t xml:space="preserve">2025-04-30</t>
  </si>
  <si>
    <t xml:space="preserve">In Progress</t>
  </si>
  <si>
    <t xml:space="preserve">★★★★☆</t>
  </si>
  <si>
    <t xml:space="preserve">CLT-003</t>
  </si>
  <si>
    <t xml:space="preserve">GreenEarth Agri</t>
  </si>
  <si>
    <t xml:space="preserve">Selvam Murugan</t>
  </si>
  <si>
    <t xml:space="preserve">selvam@greenearth.co</t>
  </si>
  <si>
    <t xml:space="preserve">9654301232</t>
  </si>
  <si>
    <t xml:space="preserve">ERP Solution</t>
  </si>
  <si>
    <t xml:space="preserve">Farm Management ERP</t>
  </si>
  <si>
    <t xml:space="preserve">2025-02-01</t>
  </si>
  <si>
    <t xml:space="preserve">2025-06-30</t>
  </si>
  <si>
    <t xml:space="preserve">CLT-004</t>
  </si>
  <si>
    <t xml:space="preserve">FinEdge Capital</t>
  </si>
  <si>
    <t xml:space="preserve">Ramya Subramanian</t>
  </si>
  <si>
    <t xml:space="preserve">ramya.s@finedge.com</t>
  </si>
  <si>
    <t xml:space="preserve">9543201231</t>
  </si>
  <si>
    <t xml:space="preserve">Cybersecurity</t>
  </si>
  <si>
    <t xml:space="preserve">Network Security Audit &amp; Setup</t>
  </si>
  <si>
    <t xml:space="preserve">2025-02-10</t>
  </si>
  <si>
    <t xml:space="preserve">CLT-005</t>
  </si>
  <si>
    <t xml:space="preserve">MediCare Clinic</t>
  </si>
  <si>
    <t xml:space="preserve">Dr. Sathish Bose</t>
  </si>
  <si>
    <t xml:space="preserve">sathish.b@medicare.in</t>
  </si>
  <si>
    <t xml:space="preserve">9432101230</t>
  </si>
  <si>
    <t xml:space="preserve">Online Appointment Portal</t>
  </si>
  <si>
    <t xml:space="preserve">2025-04-15</t>
  </si>
  <si>
    <t xml:space="preserve">CLT-006</t>
  </si>
  <si>
    <t xml:space="preserve">LogiTrack Ltd</t>
  </si>
  <si>
    <t xml:space="preserve">Naveen Pillai</t>
  </si>
  <si>
    <t xml:space="preserve">naveen.p@logitrack.in</t>
  </si>
  <si>
    <t xml:space="preserve">9321001229</t>
  </si>
  <si>
    <t xml:space="preserve">Cloud Services</t>
  </si>
  <si>
    <t xml:space="preserve">AWS Migration &amp; DevOps Setup</t>
  </si>
  <si>
    <t xml:space="preserve">2025-05-31</t>
  </si>
  <si>
    <t xml:space="preserve">CLT-007</t>
  </si>
  <si>
    <t xml:space="preserve">RetailX Store</t>
  </si>
  <si>
    <t xml:space="preserve">Divya Chandran</t>
  </si>
  <si>
    <t xml:space="preserve">divya.c@retailx.com</t>
  </si>
  <si>
    <t xml:space="preserve">9210901228</t>
  </si>
  <si>
    <t xml:space="preserve">E-Commerce</t>
  </si>
  <si>
    <t xml:space="preserve">Shopify Custom Store + Payment Gateway</t>
  </si>
  <si>
    <t xml:space="preserve">2025-04-05</t>
  </si>
  <si>
    <t xml:space="preserve">CLT-008</t>
  </si>
  <si>
    <t xml:space="preserve">BuildPro Constructions</t>
  </si>
  <si>
    <t xml:space="preserve">Manoj Iyer</t>
  </si>
  <si>
    <t xml:space="preserve">manoj.i@buildpro.in</t>
  </si>
  <si>
    <t xml:space="preserve">9109801227</t>
  </si>
  <si>
    <t xml:space="preserve">Project Site Management App</t>
  </si>
  <si>
    <t xml:space="preserve">2025-06-10</t>
  </si>
  <si>
    <t xml:space="preserve">★★★☆☆</t>
  </si>
  <si>
    <t xml:space="preserve">CLT-009</t>
  </si>
  <si>
    <t xml:space="preserve">HRLinks Solutions</t>
  </si>
  <si>
    <t xml:space="preserve">Kavitha Nair</t>
  </si>
  <si>
    <t xml:space="preserve">kavitha.n@hrlinks.com</t>
  </si>
  <si>
    <t xml:space="preserve">9008701226</t>
  </si>
  <si>
    <t xml:space="preserve">SaaS Development</t>
  </si>
  <si>
    <t xml:space="preserve">HR &amp; Payroll SaaS Platform</t>
  </si>
  <si>
    <t xml:space="preserve">2025-09-15</t>
  </si>
  <si>
    <t xml:space="preserve">CLT-010</t>
  </si>
  <si>
    <t xml:space="preserve">FoodieHub</t>
  </si>
  <si>
    <t xml:space="preserve">Balaji Venkat</t>
  </si>
  <si>
    <t xml:space="preserve">balaji.v@foodiehub.in</t>
  </si>
  <si>
    <t xml:space="preserve">8987601225</t>
  </si>
  <si>
    <t xml:space="preserve">Food Delivery Website + Admin Panel</t>
  </si>
  <si>
    <t xml:space="preserve">2025-03-20</t>
  </si>
  <si>
    <t xml:space="preserve">2025-05-20</t>
  </si>
  <si>
    <t xml:space="preserve">CLT-011</t>
  </si>
  <si>
    <t xml:space="preserve">SmartLearn Academy</t>
  </si>
  <si>
    <t xml:space="preserve">Asha Krishnan</t>
  </si>
  <si>
    <t xml:space="preserve">asha.k@smartlearn.edu</t>
  </si>
  <si>
    <t xml:space="preserve">8876501224</t>
  </si>
  <si>
    <t xml:space="preserve">Quiz &amp; Exam App with Analytics</t>
  </si>
  <si>
    <t xml:space="preserve">2025-04-01</t>
  </si>
  <si>
    <t xml:space="preserve">2025-07-01</t>
  </si>
  <si>
    <t xml:space="preserve">Planned</t>
  </si>
  <si>
    <t xml:space="preserve">N/A</t>
  </si>
  <si>
    <t xml:space="preserve">CLT-012</t>
  </si>
  <si>
    <t xml:space="preserve">AutoDrive Rentals</t>
  </si>
  <si>
    <t xml:space="preserve">Suresh Raja</t>
  </si>
  <si>
    <t xml:space="preserve">suresh.r@autodrive.in</t>
  </si>
  <si>
    <t xml:space="preserve">8765401223</t>
  </si>
  <si>
    <t xml:space="preserve">Fleet &amp; Booking Management ERP</t>
  </si>
  <si>
    <t xml:space="preserve">2025-08-05</t>
  </si>
  <si>
    <t xml:space="preserve">CLT-013</t>
  </si>
  <si>
    <t xml:space="preserve">CloudNest Hosting</t>
  </si>
  <si>
    <t xml:space="preserve">rithika.m@cloudnest.io</t>
  </si>
  <si>
    <t xml:space="preserve">8654301222</t>
  </si>
  <si>
    <t xml:space="preserve">Penetration Testing &amp; SOC Setup</t>
  </si>
  <si>
    <t xml:space="preserve">2025-04-10</t>
  </si>
  <si>
    <t xml:space="preserve">2025-05-10</t>
  </si>
  <si>
    <t xml:space="preserve">CLT-014</t>
  </si>
  <si>
    <t xml:space="preserve">SwiftPay Fintech</t>
  </si>
  <si>
    <t xml:space="preserve">Deepak Raj</t>
  </si>
  <si>
    <t xml:space="preserve">deepak.r@swiftpay.in</t>
  </si>
  <si>
    <t xml:space="preserve">8543201221</t>
  </si>
  <si>
    <t xml:space="preserve">Digital Wallet &amp; UPI Integration</t>
  </si>
  <si>
    <t xml:space="preserve">2025-10-15</t>
  </si>
  <si>
    <t xml:space="preserve">CLT-015</t>
  </si>
  <si>
    <t xml:space="preserve">GlobeShip Logistics</t>
  </si>
  <si>
    <t xml:space="preserve">Meena Subramaniam</t>
  </si>
  <si>
    <t xml:space="preserve">meena.s@globeship.com</t>
  </si>
  <si>
    <t xml:space="preserve">8432101220</t>
  </si>
  <si>
    <t xml:space="preserve">Multi-region Cloud Infrastructure</t>
  </si>
  <si>
    <t xml:space="preserve">2025-04-20</t>
  </si>
  <si>
    <t xml:space="preserve">2025-07-20</t>
  </si>
  <si>
    <t xml:space="preserve">CLT-016</t>
  </si>
  <si>
    <t xml:space="preserve">EduSpark Institute</t>
  </si>
  <si>
    <t xml:space="preserve">Karthik Babu</t>
  </si>
  <si>
    <t xml:space="preserve">karthik.b@eduspark.edu</t>
  </si>
  <si>
    <t xml:space="preserve">8321001219</t>
  </si>
  <si>
    <t xml:space="preserve">LMS Portal with Video Streaming</t>
  </si>
  <si>
    <t xml:space="preserve">2025-05-01</t>
  </si>
  <si>
    <t xml:space="preserve">2025-07-31</t>
  </si>
  <si>
    <t xml:space="preserve">CLT-017</t>
  </si>
  <si>
    <t xml:space="preserve">NovaMed Pharma</t>
  </si>
  <si>
    <t xml:space="preserve">Lakshmi Srinivas</t>
  </si>
  <si>
    <t xml:space="preserve">lakshmi.s@novamed.com</t>
  </si>
  <si>
    <t xml:space="preserve">8210901218</t>
  </si>
  <si>
    <t xml:space="preserve">Drug Inventory &amp; Order Tracking App</t>
  </si>
  <si>
    <t xml:space="preserve">2025-05-05</t>
  </si>
  <si>
    <t xml:space="preserve">CLT-018</t>
  </si>
  <si>
    <t xml:space="preserve">SafeGuard Insurance</t>
  </si>
  <si>
    <t xml:space="preserve">Vijay Menon</t>
  </si>
  <si>
    <t xml:space="preserve">vijay.m@safeguard.in</t>
  </si>
  <si>
    <t xml:space="preserve">8109801217</t>
  </si>
  <si>
    <t xml:space="preserve">ISO 27001 Compliance &amp; VAPT</t>
  </si>
  <si>
    <t xml:space="preserve">CLT-019</t>
  </si>
  <si>
    <t xml:space="preserve">TravelEase Holidays</t>
  </si>
  <si>
    <t xml:space="preserve">Pooja Nambiar</t>
  </si>
  <si>
    <t xml:space="preserve">pooja.n@travelease.in</t>
  </si>
  <si>
    <t xml:space="preserve">8008701216</t>
  </si>
  <si>
    <t xml:space="preserve">Travel Booking Platform + CRM</t>
  </si>
  <si>
    <t xml:space="preserve">2025-05-12</t>
  </si>
  <si>
    <t xml:space="preserve">2025-08-12</t>
  </si>
  <si>
    <t xml:space="preserve">CLT-020</t>
  </si>
  <si>
    <t xml:space="preserve">CropSense AgriTech</t>
  </si>
  <si>
    <t xml:space="preserve">Rajesh Pandian</t>
  </si>
  <si>
    <t xml:space="preserve">rajesh.p@cropsense.in</t>
  </si>
  <si>
    <t xml:space="preserve">7987601215</t>
  </si>
  <si>
    <t xml:space="preserve">IoT-Based Crop Monitoring App</t>
  </si>
  <si>
    <t xml:space="preserve">2025-05-15</t>
  </si>
  <si>
    <t xml:space="preserve">📊  SAMPLE DATA SUMMARY DASHBOARD</t>
  </si>
  <si>
    <t xml:space="preserve">🛒 ECOMMERCE METRICS</t>
  </si>
  <si>
    <t xml:space="preserve">Total Orders</t>
  </si>
  <si>
    <t xml:space="preserve">Total Revenue (₹)</t>
  </si>
  <si>
    <t xml:space="preserve">Avg Order Value (₹)</t>
  </si>
  <si>
    <t xml:space="preserve">Delivered Orders</t>
  </si>
  <si>
    <t xml:space="preserve">Cancelled / Returned</t>
  </si>
  <si>
    <t xml:space="preserve">💻 IT SOLUTION METRICS</t>
  </si>
  <si>
    <t xml:space="preserve">Total Clients</t>
  </si>
  <si>
    <t xml:space="preserve">Total Project Budget (₹)</t>
  </si>
  <si>
    <t xml:space="preserve">Avg Project Budget (₹)</t>
  </si>
  <si>
    <t xml:space="preserve">Completed Projects</t>
  </si>
  <si>
    <t xml:space="preserve">In Progress Projects</t>
  </si>
  <si>
    <t xml:space="preserve">Planned Projects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</si>
</sst>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\₹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6A1E99"/>
      <name val="Arial"/>
      <family val="0"/>
      <charset val="1"/>
    </font>
    <font>
      <sz val="10"/>
      <color rgb="FF9E9E9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7474F"/>
      </patternFill>
    </fill>
    <fill>
      <patternFill patternType="solid">
        <fgColor rgb="FF2979FF"/>
        <bgColor rgb="FF0066CC"/>
      </patternFill>
    </fill>
    <fill>
      <patternFill patternType="solid">
        <fgColor rgb="FFEAF1FB"/>
        <bgColor rgb="FFE8F5E9"/>
      </patternFill>
    </fill>
    <fill>
      <patternFill patternType="solid">
        <fgColor rgb="FFFFFFFF"/>
        <bgColor rgb="FFEAF1FB"/>
      </patternFill>
    </fill>
    <fill>
      <patternFill patternType="solid">
        <fgColor rgb="FFFFD600"/>
        <bgColor rgb="FFFFFF00"/>
      </patternFill>
    </fill>
    <fill>
      <patternFill patternType="solid">
        <fgColor rgb="FF1B5E20"/>
        <bgColor rgb="FF00640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AF1FB"/>
      </patternFill>
    </fill>
    <fill>
      <patternFill patternType="solid">
        <fgColor rgb="FF37474F"/>
        <bgColor rgb="FF1E3A5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6A1E99"/>
      <rgbColor rgb="FF008080"/>
      <rgbColor rgb="FFBDBDBD"/>
      <rgbColor rgb="FF808080"/>
      <rgbColor rgb="FF9999FF"/>
      <rgbColor rgb="FF993366"/>
      <rgbColor rgb="FFE8F5E9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979FF"/>
      <rgbColor rgb="FF33CCCC"/>
      <rgbColor rgb="FF99CC00"/>
      <rgbColor rgb="FFFFD600"/>
      <rgbColor rgb="FFFF9900"/>
      <rgbColor rgb="FFE65100"/>
      <rgbColor rgb="FF666699"/>
      <rgbColor rgb="FF9E9E9E"/>
      <rgbColor rgb="FF1E3A5F"/>
      <rgbColor rgb="FF2E7D32"/>
      <rgbColor rgb="FF003300"/>
      <rgbColor rgb="FF1B5E20"/>
      <rgbColor rgb="FFB71C1C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4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4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5" t="n">
        <v>2</v>
      </c>
      <c r="L3" s="6" t="n">
        <v>1299</v>
      </c>
      <c r="M3" s="6" t="n">
        <f aca="false">K3*L3</f>
        <v>2598</v>
      </c>
      <c r="N3" s="7" t="s">
        <v>25</v>
      </c>
    </row>
    <row r="4" customFormat="false" ht="15" hidden="false" customHeight="false" outlineLevel="0" collapsed="false">
      <c r="A4" s="8" t="s">
        <v>26</v>
      </c>
      <c r="B4" s="9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21</v>
      </c>
      <c r="H4" s="8" t="s">
        <v>32</v>
      </c>
      <c r="I4" s="8" t="s">
        <v>33</v>
      </c>
      <c r="J4" s="8" t="s">
        <v>34</v>
      </c>
      <c r="K4" s="10" t="n">
        <v>1</v>
      </c>
      <c r="L4" s="11" t="n">
        <v>3499</v>
      </c>
      <c r="M4" s="11" t="n">
        <f aca="false">K4*L4</f>
        <v>3499</v>
      </c>
      <c r="N4" s="12" t="s">
        <v>25</v>
      </c>
    </row>
    <row r="5" customFormat="false" ht="15" hidden="false" customHeight="false" outlineLevel="0" collapsed="false">
      <c r="A5" s="3" t="s">
        <v>35</v>
      </c>
      <c r="B5" s="4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5" t="n">
        <v>1</v>
      </c>
      <c r="L5" s="6" t="n">
        <v>2999</v>
      </c>
      <c r="M5" s="6" t="n">
        <f aca="false">K5*L5</f>
        <v>2999</v>
      </c>
      <c r="N5" s="13" t="s">
        <v>45</v>
      </c>
    </row>
    <row r="6" customFormat="false" ht="15" hidden="false" customHeight="false" outlineLevel="0" collapsed="false">
      <c r="A6" s="8" t="s">
        <v>46</v>
      </c>
      <c r="B6" s="9" t="s">
        <v>47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22</v>
      </c>
      <c r="I6" s="8" t="s">
        <v>53</v>
      </c>
      <c r="J6" s="8" t="s">
        <v>54</v>
      </c>
      <c r="K6" s="10" t="n">
        <v>1</v>
      </c>
      <c r="L6" s="11" t="n">
        <v>17999</v>
      </c>
      <c r="M6" s="11" t="n">
        <f aca="false">K6*L6</f>
        <v>17999</v>
      </c>
      <c r="N6" s="14" t="s">
        <v>55</v>
      </c>
    </row>
    <row r="7" customFormat="false" ht="15" hidden="false" customHeight="false" outlineLevel="0" collapsed="false">
      <c r="A7" s="3" t="s">
        <v>56</v>
      </c>
      <c r="B7" s="4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5" t="n">
        <v>3</v>
      </c>
      <c r="L7" s="6" t="n">
        <v>299</v>
      </c>
      <c r="M7" s="6" t="n">
        <f aca="false">K7*L7</f>
        <v>897</v>
      </c>
      <c r="N7" s="7" t="s">
        <v>25</v>
      </c>
    </row>
    <row r="8" customFormat="false" ht="15" hidden="false" customHeight="false" outlineLevel="0" collapsed="false">
      <c r="A8" s="8" t="s">
        <v>66</v>
      </c>
      <c r="B8" s="9" t="s">
        <v>67</v>
      </c>
      <c r="C8" s="8" t="s">
        <v>68</v>
      </c>
      <c r="D8" s="8" t="s">
        <v>69</v>
      </c>
      <c r="E8" s="8" t="s">
        <v>70</v>
      </c>
      <c r="F8" s="8" t="s">
        <v>71</v>
      </c>
      <c r="G8" s="8" t="s">
        <v>72</v>
      </c>
      <c r="H8" s="8" t="s">
        <v>73</v>
      </c>
      <c r="I8" s="8" t="s">
        <v>74</v>
      </c>
      <c r="J8" s="8" t="s">
        <v>75</v>
      </c>
      <c r="K8" s="10" t="n">
        <v>2</v>
      </c>
      <c r="L8" s="11" t="n">
        <v>1850</v>
      </c>
      <c r="M8" s="11" t="n">
        <f aca="false">K8*L8</f>
        <v>3700</v>
      </c>
      <c r="N8" s="12" t="s">
        <v>25</v>
      </c>
    </row>
    <row r="9" customFormat="false" ht="15" hidden="false" customHeight="false" outlineLevel="0" collapsed="false">
      <c r="A9" s="3" t="s">
        <v>76</v>
      </c>
      <c r="B9" s="4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21</v>
      </c>
      <c r="H9" s="3" t="s">
        <v>82</v>
      </c>
      <c r="I9" s="3" t="s">
        <v>83</v>
      </c>
      <c r="J9" s="3" t="s">
        <v>84</v>
      </c>
      <c r="K9" s="5" t="n">
        <v>1</v>
      </c>
      <c r="L9" s="6" t="n">
        <v>899</v>
      </c>
      <c r="M9" s="6" t="n">
        <f aca="false">K9*L9</f>
        <v>899</v>
      </c>
      <c r="N9" s="7" t="s">
        <v>25</v>
      </c>
    </row>
    <row r="10" customFormat="false" ht="15" hidden="false" customHeight="false" outlineLevel="0" collapsed="false">
      <c r="A10" s="8" t="s">
        <v>85</v>
      </c>
      <c r="B10" s="9" t="s">
        <v>86</v>
      </c>
      <c r="C10" s="8" t="s">
        <v>87</v>
      </c>
      <c r="D10" s="8" t="s">
        <v>88</v>
      </c>
      <c r="E10" s="8" t="s">
        <v>89</v>
      </c>
      <c r="F10" s="8" t="s">
        <v>90</v>
      </c>
      <c r="G10" s="8" t="s">
        <v>91</v>
      </c>
      <c r="H10" s="8" t="s">
        <v>22</v>
      </c>
      <c r="I10" s="8" t="s">
        <v>92</v>
      </c>
      <c r="J10" s="8" t="s">
        <v>93</v>
      </c>
      <c r="K10" s="10" t="n">
        <v>1</v>
      </c>
      <c r="L10" s="11" t="n">
        <v>24990</v>
      </c>
      <c r="M10" s="11" t="n">
        <f aca="false">K10*L10</f>
        <v>24990</v>
      </c>
      <c r="N10" s="15" t="s">
        <v>94</v>
      </c>
    </row>
    <row r="11" customFormat="false" ht="15" hidden="false" customHeight="false" outlineLevel="0" collapsed="false">
      <c r="A11" s="3" t="s">
        <v>95</v>
      </c>
      <c r="B11" s="4" t="s">
        <v>96</v>
      </c>
      <c r="C11" s="3" t="s">
        <v>97</v>
      </c>
      <c r="D11" s="3" t="s">
        <v>98</v>
      </c>
      <c r="E11" s="3" t="s">
        <v>99</v>
      </c>
      <c r="F11" s="3" t="s">
        <v>100</v>
      </c>
      <c r="G11" s="3" t="s">
        <v>21</v>
      </c>
      <c r="H11" s="3" t="s">
        <v>42</v>
      </c>
      <c r="I11" s="3" t="s">
        <v>101</v>
      </c>
      <c r="J11" s="3" t="s">
        <v>102</v>
      </c>
      <c r="K11" s="5" t="n">
        <v>4</v>
      </c>
      <c r="L11" s="6" t="n">
        <v>699</v>
      </c>
      <c r="M11" s="6" t="n">
        <f aca="false">K11*L11</f>
        <v>2796</v>
      </c>
      <c r="N11" s="7" t="s">
        <v>25</v>
      </c>
    </row>
    <row r="12" customFormat="false" ht="15" hidden="false" customHeight="false" outlineLevel="0" collapsed="false">
      <c r="A12" s="8" t="s">
        <v>103</v>
      </c>
      <c r="B12" s="9" t="s">
        <v>104</v>
      </c>
      <c r="C12" s="8" t="s">
        <v>105</v>
      </c>
      <c r="D12" s="8" t="s">
        <v>106</v>
      </c>
      <c r="E12" s="8" t="s">
        <v>107</v>
      </c>
      <c r="F12" s="8" t="s">
        <v>108</v>
      </c>
      <c r="G12" s="8" t="s">
        <v>91</v>
      </c>
      <c r="H12" s="8" t="s">
        <v>32</v>
      </c>
      <c r="I12" s="8" t="s">
        <v>109</v>
      </c>
      <c r="J12" s="8" t="s">
        <v>110</v>
      </c>
      <c r="K12" s="10" t="n">
        <v>1</v>
      </c>
      <c r="L12" s="11" t="n">
        <v>8999</v>
      </c>
      <c r="M12" s="11" t="n">
        <f aca="false">K12*L12</f>
        <v>8999</v>
      </c>
      <c r="N12" s="14" t="s">
        <v>45</v>
      </c>
    </row>
    <row r="13" customFormat="false" ht="15" hidden="false" customHeight="false" outlineLevel="0" collapsed="false">
      <c r="A13" s="3" t="s">
        <v>111</v>
      </c>
      <c r="B13" s="4" t="s">
        <v>112</v>
      </c>
      <c r="C13" s="3" t="s">
        <v>113</v>
      </c>
      <c r="D13" s="3" t="s">
        <v>114</v>
      </c>
      <c r="E13" s="3" t="s">
        <v>115</v>
      </c>
      <c r="F13" s="3" t="s">
        <v>116</v>
      </c>
      <c r="G13" s="3" t="s">
        <v>21</v>
      </c>
      <c r="H13" s="3" t="s">
        <v>22</v>
      </c>
      <c r="I13" s="3" t="s">
        <v>117</v>
      </c>
      <c r="J13" s="3" t="s">
        <v>118</v>
      </c>
      <c r="K13" s="5" t="n">
        <v>1</v>
      </c>
      <c r="L13" s="6" t="n">
        <v>1299</v>
      </c>
      <c r="M13" s="6" t="n">
        <f aca="false">K13*L13</f>
        <v>1299</v>
      </c>
      <c r="N13" s="7" t="s">
        <v>25</v>
      </c>
    </row>
    <row r="14" customFormat="false" ht="15" hidden="false" customHeight="false" outlineLevel="0" collapsed="false">
      <c r="A14" s="8" t="s">
        <v>119</v>
      </c>
      <c r="B14" s="9" t="s">
        <v>120</v>
      </c>
      <c r="C14" s="8" t="s">
        <v>121</v>
      </c>
      <c r="D14" s="8" t="s">
        <v>122</v>
      </c>
      <c r="E14" s="8" t="s">
        <v>123</v>
      </c>
      <c r="F14" s="8" t="s">
        <v>20</v>
      </c>
      <c r="G14" s="8" t="s">
        <v>21</v>
      </c>
      <c r="H14" s="8" t="s">
        <v>63</v>
      </c>
      <c r="I14" s="8" t="s">
        <v>124</v>
      </c>
      <c r="J14" s="8" t="s">
        <v>125</v>
      </c>
      <c r="K14" s="10" t="n">
        <v>2</v>
      </c>
      <c r="L14" s="11" t="n">
        <v>349</v>
      </c>
      <c r="M14" s="11" t="n">
        <f aca="false">K14*L14</f>
        <v>698</v>
      </c>
      <c r="N14" s="12" t="s">
        <v>25</v>
      </c>
    </row>
    <row r="15" customFormat="false" ht="15" hidden="false" customHeight="false" outlineLevel="0" collapsed="false">
      <c r="A15" s="3" t="s">
        <v>126</v>
      </c>
      <c r="B15" s="4" t="s">
        <v>127</v>
      </c>
      <c r="C15" s="3" t="s">
        <v>128</v>
      </c>
      <c r="D15" s="3" t="s">
        <v>129</v>
      </c>
      <c r="E15" s="3" t="s">
        <v>130</v>
      </c>
      <c r="F15" s="3" t="s">
        <v>131</v>
      </c>
      <c r="G15" s="3" t="s">
        <v>131</v>
      </c>
      <c r="H15" s="3" t="s">
        <v>32</v>
      </c>
      <c r="I15" s="3" t="s">
        <v>132</v>
      </c>
      <c r="J15" s="3" t="s">
        <v>133</v>
      </c>
      <c r="K15" s="5" t="n">
        <v>1</v>
      </c>
      <c r="L15" s="6" t="n">
        <v>1499</v>
      </c>
      <c r="M15" s="6" t="n">
        <f aca="false">K15*L15</f>
        <v>1499</v>
      </c>
      <c r="N15" s="13" t="s">
        <v>55</v>
      </c>
    </row>
    <row r="16" customFormat="false" ht="15" hidden="false" customHeight="false" outlineLevel="0" collapsed="false">
      <c r="A16" s="8" t="s">
        <v>134</v>
      </c>
      <c r="B16" s="9" t="s">
        <v>135</v>
      </c>
      <c r="C16" s="8" t="s">
        <v>136</v>
      </c>
      <c r="D16" s="8" t="s">
        <v>137</v>
      </c>
      <c r="E16" s="8" t="s">
        <v>138</v>
      </c>
      <c r="F16" s="8" t="s">
        <v>139</v>
      </c>
      <c r="G16" s="8" t="s">
        <v>140</v>
      </c>
      <c r="H16" s="8" t="s">
        <v>22</v>
      </c>
      <c r="I16" s="8" t="s">
        <v>141</v>
      </c>
      <c r="J16" s="8" t="s">
        <v>142</v>
      </c>
      <c r="K16" s="10" t="n">
        <v>1</v>
      </c>
      <c r="L16" s="11" t="n">
        <v>12999</v>
      </c>
      <c r="M16" s="11" t="n">
        <f aca="false">K16*L16</f>
        <v>12999</v>
      </c>
      <c r="N16" s="12" t="s">
        <v>25</v>
      </c>
    </row>
    <row r="17" customFormat="false" ht="15" hidden="false" customHeight="false" outlineLevel="0" collapsed="false">
      <c r="A17" s="3" t="s">
        <v>143</v>
      </c>
      <c r="B17" s="4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62</v>
      </c>
      <c r="H17" s="3" t="s">
        <v>42</v>
      </c>
      <c r="I17" s="3" t="s">
        <v>149</v>
      </c>
      <c r="J17" s="3" t="s">
        <v>150</v>
      </c>
      <c r="K17" s="5" t="n">
        <v>2</v>
      </c>
      <c r="L17" s="6" t="n">
        <v>899</v>
      </c>
      <c r="M17" s="6" t="n">
        <f aca="false">K17*L17</f>
        <v>1798</v>
      </c>
      <c r="N17" s="16" t="s">
        <v>151</v>
      </c>
    </row>
    <row r="18" customFormat="false" ht="15" hidden="false" customHeight="false" outlineLevel="0" collapsed="false">
      <c r="A18" s="8" t="s">
        <v>152</v>
      </c>
      <c r="B18" s="9" t="s">
        <v>153</v>
      </c>
      <c r="C18" s="8" t="s">
        <v>154</v>
      </c>
      <c r="D18" s="8" t="s">
        <v>155</v>
      </c>
      <c r="E18" s="8" t="s">
        <v>156</v>
      </c>
      <c r="F18" s="8" t="s">
        <v>31</v>
      </c>
      <c r="G18" s="8" t="s">
        <v>21</v>
      </c>
      <c r="H18" s="8" t="s">
        <v>73</v>
      </c>
      <c r="I18" s="8" t="s">
        <v>157</v>
      </c>
      <c r="J18" s="8" t="s">
        <v>158</v>
      </c>
      <c r="K18" s="10" t="n">
        <v>3</v>
      </c>
      <c r="L18" s="11" t="n">
        <v>799</v>
      </c>
      <c r="M18" s="11" t="n">
        <f aca="false">K18*L18</f>
        <v>2397</v>
      </c>
      <c r="N18" s="12" t="s">
        <v>25</v>
      </c>
    </row>
    <row r="19" customFormat="false" ht="15" hidden="false" customHeight="false" outlineLevel="0" collapsed="false">
      <c r="A19" s="3" t="s">
        <v>159</v>
      </c>
      <c r="B19" s="4" t="s">
        <v>160</v>
      </c>
      <c r="C19" s="3" t="s">
        <v>161</v>
      </c>
      <c r="D19" s="3" t="s">
        <v>162</v>
      </c>
      <c r="E19" s="3" t="s">
        <v>163</v>
      </c>
      <c r="F19" s="3" t="s">
        <v>40</v>
      </c>
      <c r="G19" s="3" t="s">
        <v>41</v>
      </c>
      <c r="H19" s="3" t="s">
        <v>82</v>
      </c>
      <c r="I19" s="3" t="s">
        <v>164</v>
      </c>
      <c r="J19" s="3" t="s">
        <v>165</v>
      </c>
      <c r="K19" s="5" t="n">
        <v>1</v>
      </c>
      <c r="L19" s="6" t="n">
        <v>699</v>
      </c>
      <c r="M19" s="6" t="n">
        <f aca="false">K19*L19</f>
        <v>699</v>
      </c>
      <c r="N19" s="7" t="s">
        <v>25</v>
      </c>
    </row>
    <row r="20" customFormat="false" ht="15" hidden="false" customHeight="false" outlineLevel="0" collapsed="false">
      <c r="A20" s="8" t="s">
        <v>166</v>
      </c>
      <c r="B20" s="9" t="s">
        <v>167</v>
      </c>
      <c r="C20" s="8" t="s">
        <v>168</v>
      </c>
      <c r="D20" s="8" t="s">
        <v>169</v>
      </c>
      <c r="E20" s="8" t="s">
        <v>170</v>
      </c>
      <c r="F20" s="8" t="s">
        <v>51</v>
      </c>
      <c r="G20" s="8" t="s">
        <v>52</v>
      </c>
      <c r="H20" s="8" t="s">
        <v>22</v>
      </c>
      <c r="I20" s="8" t="s">
        <v>171</v>
      </c>
      <c r="J20" s="8" t="s">
        <v>172</v>
      </c>
      <c r="K20" s="10" t="n">
        <v>1</v>
      </c>
      <c r="L20" s="11" t="n">
        <v>54990</v>
      </c>
      <c r="M20" s="11" t="n">
        <f aca="false">K20*L20</f>
        <v>54990</v>
      </c>
      <c r="N20" s="14" t="s">
        <v>45</v>
      </c>
    </row>
    <row r="21" customFormat="false" ht="15" hidden="false" customHeight="false" outlineLevel="0" collapsed="false">
      <c r="A21" s="3" t="s">
        <v>173</v>
      </c>
      <c r="B21" s="4" t="s">
        <v>174</v>
      </c>
      <c r="C21" s="3" t="s">
        <v>175</v>
      </c>
      <c r="D21" s="3" t="s">
        <v>176</v>
      </c>
      <c r="E21" s="3" t="s">
        <v>177</v>
      </c>
      <c r="F21" s="3" t="s">
        <v>61</v>
      </c>
      <c r="G21" s="3" t="s">
        <v>62</v>
      </c>
      <c r="H21" s="3" t="s">
        <v>63</v>
      </c>
      <c r="I21" s="3" t="s">
        <v>178</v>
      </c>
      <c r="J21" s="3" t="s">
        <v>179</v>
      </c>
      <c r="K21" s="5" t="n">
        <v>2</v>
      </c>
      <c r="L21" s="6" t="n">
        <v>499</v>
      </c>
      <c r="M21" s="6" t="n">
        <f aca="false">K21*L21</f>
        <v>998</v>
      </c>
      <c r="N21" s="7" t="s">
        <v>25</v>
      </c>
    </row>
    <row r="22" customFormat="false" ht="15" hidden="false" customHeight="false" outlineLevel="0" collapsed="false">
      <c r="A22" s="8" t="s">
        <v>180</v>
      </c>
      <c r="B22" s="9" t="s">
        <v>181</v>
      </c>
      <c r="C22" s="8" t="s">
        <v>182</v>
      </c>
      <c r="D22" s="8" t="s">
        <v>183</v>
      </c>
      <c r="E22" s="8" t="s">
        <v>184</v>
      </c>
      <c r="F22" s="8" t="s">
        <v>20</v>
      </c>
      <c r="G22" s="8" t="s">
        <v>21</v>
      </c>
      <c r="H22" s="8" t="s">
        <v>32</v>
      </c>
      <c r="I22" s="8" t="s">
        <v>185</v>
      </c>
      <c r="J22" s="8" t="s">
        <v>186</v>
      </c>
      <c r="K22" s="10" t="n">
        <v>2</v>
      </c>
      <c r="L22" s="11" t="n">
        <v>1299</v>
      </c>
      <c r="M22" s="11" t="n">
        <f aca="false">K22*L22</f>
        <v>2598</v>
      </c>
      <c r="N22" s="12" t="s">
        <v>25</v>
      </c>
    </row>
    <row r="23" customFormat="false" ht="21.75" hidden="false" customHeight="true" outlineLevel="0" collapsed="false">
      <c r="A23" s="17" t="s">
        <v>187</v>
      </c>
      <c r="B23" s="18"/>
      <c r="C23" s="18"/>
      <c r="D23" s="18"/>
      <c r="E23" s="18"/>
      <c r="F23" s="18"/>
      <c r="G23" s="18"/>
      <c r="H23" s="18"/>
      <c r="I23" s="18"/>
      <c r="J23" s="18"/>
      <c r="K23" s="19" t="n">
        <f aca="false">SUM(K3:K22)</f>
        <v>33</v>
      </c>
      <c r="L23" s="18"/>
      <c r="M23" s="20" t="n">
        <f aca="false">SUM(M3:M22)</f>
        <v>149351</v>
      </c>
      <c r="N23" s="18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12" min="9" style="0" width="14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21" t="s">
        <v>188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9.5" hidden="false" customHeight="true" outlineLevel="0" collapsed="false">
      <c r="A2" s="22" t="s">
        <v>189</v>
      </c>
      <c r="B2" s="22" t="s">
        <v>190</v>
      </c>
      <c r="C2" s="22" t="s">
        <v>191</v>
      </c>
      <c r="D2" s="22" t="s">
        <v>4</v>
      </c>
      <c r="E2" s="22" t="s">
        <v>5</v>
      </c>
      <c r="F2" s="22" t="s">
        <v>6</v>
      </c>
      <c r="G2" s="22" t="s">
        <v>192</v>
      </c>
      <c r="H2" s="22" t="s">
        <v>193</v>
      </c>
      <c r="I2" s="22" t="s">
        <v>194</v>
      </c>
      <c r="J2" s="22" t="s">
        <v>195</v>
      </c>
      <c r="K2" s="22" t="s">
        <v>196</v>
      </c>
      <c r="L2" s="22" t="s">
        <v>14</v>
      </c>
      <c r="M2" s="22" t="s">
        <v>197</v>
      </c>
    </row>
    <row r="3" customFormat="false" ht="15" hidden="false" customHeight="false" outlineLevel="0" collapsed="false">
      <c r="A3" s="23" t="s">
        <v>198</v>
      </c>
      <c r="B3" s="23" t="s">
        <v>199</v>
      </c>
      <c r="C3" s="23" t="s">
        <v>200</v>
      </c>
      <c r="D3" s="23" t="s">
        <v>201</v>
      </c>
      <c r="E3" s="23" t="s">
        <v>202</v>
      </c>
      <c r="F3" s="23" t="s">
        <v>20</v>
      </c>
      <c r="G3" s="23" t="s">
        <v>203</v>
      </c>
      <c r="H3" s="23" t="s">
        <v>204</v>
      </c>
      <c r="I3" s="24" t="s">
        <v>205</v>
      </c>
      <c r="J3" s="24" t="s">
        <v>206</v>
      </c>
      <c r="K3" s="25" t="n">
        <v>180000</v>
      </c>
      <c r="L3" s="26" t="s">
        <v>207</v>
      </c>
      <c r="M3" s="27" t="s">
        <v>208</v>
      </c>
    </row>
    <row r="4" customFormat="false" ht="15" hidden="false" customHeight="false" outlineLevel="0" collapsed="false">
      <c r="A4" s="8" t="s">
        <v>209</v>
      </c>
      <c r="B4" s="8" t="s">
        <v>210</v>
      </c>
      <c r="C4" s="8" t="s">
        <v>211</v>
      </c>
      <c r="D4" s="8" t="s">
        <v>212</v>
      </c>
      <c r="E4" s="8" t="s">
        <v>213</v>
      </c>
      <c r="F4" s="8" t="s">
        <v>31</v>
      </c>
      <c r="G4" s="8" t="s">
        <v>214</v>
      </c>
      <c r="H4" s="8" t="s">
        <v>215</v>
      </c>
      <c r="I4" s="9" t="s">
        <v>47</v>
      </c>
      <c r="J4" s="9" t="s">
        <v>216</v>
      </c>
      <c r="K4" s="10" t="n">
        <v>350000</v>
      </c>
      <c r="L4" s="28" t="s">
        <v>217</v>
      </c>
      <c r="M4" s="29" t="s">
        <v>218</v>
      </c>
    </row>
    <row r="5" customFormat="false" ht="15" hidden="false" customHeight="false" outlineLevel="0" collapsed="false">
      <c r="A5" s="23" t="s">
        <v>219</v>
      </c>
      <c r="B5" s="23" t="s">
        <v>220</v>
      </c>
      <c r="C5" s="23" t="s">
        <v>221</v>
      </c>
      <c r="D5" s="23" t="s">
        <v>222</v>
      </c>
      <c r="E5" s="23" t="s">
        <v>223</v>
      </c>
      <c r="F5" s="23" t="s">
        <v>81</v>
      </c>
      <c r="G5" s="23" t="s">
        <v>224</v>
      </c>
      <c r="H5" s="23" t="s">
        <v>225</v>
      </c>
      <c r="I5" s="24" t="s">
        <v>226</v>
      </c>
      <c r="J5" s="24" t="s">
        <v>227</v>
      </c>
      <c r="K5" s="25" t="n">
        <v>520000</v>
      </c>
      <c r="L5" s="30" t="s">
        <v>217</v>
      </c>
      <c r="M5" s="27" t="s">
        <v>218</v>
      </c>
    </row>
    <row r="6" customFormat="false" ht="15" hidden="false" customHeight="false" outlineLevel="0" collapsed="false">
      <c r="A6" s="8" t="s">
        <v>228</v>
      </c>
      <c r="B6" s="8" t="s">
        <v>229</v>
      </c>
      <c r="C6" s="8" t="s">
        <v>230</v>
      </c>
      <c r="D6" s="8" t="s">
        <v>231</v>
      </c>
      <c r="E6" s="8" t="s">
        <v>232</v>
      </c>
      <c r="F6" s="8" t="s">
        <v>40</v>
      </c>
      <c r="G6" s="8" t="s">
        <v>233</v>
      </c>
      <c r="H6" s="8" t="s">
        <v>234</v>
      </c>
      <c r="I6" s="9" t="s">
        <v>235</v>
      </c>
      <c r="J6" s="9" t="s">
        <v>206</v>
      </c>
      <c r="K6" s="10" t="n">
        <v>95000</v>
      </c>
      <c r="L6" s="12" t="s">
        <v>207</v>
      </c>
      <c r="M6" s="29" t="s">
        <v>208</v>
      </c>
    </row>
    <row r="7" customFormat="false" ht="15" hidden="false" customHeight="false" outlineLevel="0" collapsed="false">
      <c r="A7" s="23" t="s">
        <v>236</v>
      </c>
      <c r="B7" s="23" t="s">
        <v>237</v>
      </c>
      <c r="C7" s="23" t="s">
        <v>238</v>
      </c>
      <c r="D7" s="23" t="s">
        <v>239</v>
      </c>
      <c r="E7" s="23" t="s">
        <v>240</v>
      </c>
      <c r="F7" s="23" t="s">
        <v>51</v>
      </c>
      <c r="G7" s="23" t="s">
        <v>203</v>
      </c>
      <c r="H7" s="23" t="s">
        <v>241</v>
      </c>
      <c r="I7" s="24" t="s">
        <v>127</v>
      </c>
      <c r="J7" s="24" t="s">
        <v>242</v>
      </c>
      <c r="K7" s="25" t="n">
        <v>140000</v>
      </c>
      <c r="L7" s="26" t="s">
        <v>207</v>
      </c>
      <c r="M7" s="27" t="s">
        <v>218</v>
      </c>
    </row>
    <row r="8" customFormat="false" ht="15" hidden="false" customHeight="false" outlineLevel="0" collapsed="false">
      <c r="A8" s="8" t="s">
        <v>243</v>
      </c>
      <c r="B8" s="8" t="s">
        <v>244</v>
      </c>
      <c r="C8" s="8" t="s">
        <v>245</v>
      </c>
      <c r="D8" s="8" t="s">
        <v>246</v>
      </c>
      <c r="E8" s="8" t="s">
        <v>247</v>
      </c>
      <c r="F8" s="8" t="s">
        <v>61</v>
      </c>
      <c r="G8" s="8" t="s">
        <v>248</v>
      </c>
      <c r="H8" s="8" t="s">
        <v>249</v>
      </c>
      <c r="I8" s="9" t="s">
        <v>153</v>
      </c>
      <c r="J8" s="9" t="s">
        <v>250</v>
      </c>
      <c r="K8" s="10" t="n">
        <v>680000</v>
      </c>
      <c r="L8" s="28" t="s">
        <v>217</v>
      </c>
      <c r="M8" s="29" t="s">
        <v>208</v>
      </c>
    </row>
    <row r="9" customFormat="false" ht="15" hidden="false" customHeight="false" outlineLevel="0" collapsed="false">
      <c r="A9" s="23" t="s">
        <v>251</v>
      </c>
      <c r="B9" s="23" t="s">
        <v>252</v>
      </c>
      <c r="C9" s="23" t="s">
        <v>253</v>
      </c>
      <c r="D9" s="23" t="s">
        <v>254</v>
      </c>
      <c r="E9" s="23" t="s">
        <v>255</v>
      </c>
      <c r="F9" s="23" t="s">
        <v>20</v>
      </c>
      <c r="G9" s="23" t="s">
        <v>256</v>
      </c>
      <c r="H9" s="23" t="s">
        <v>257</v>
      </c>
      <c r="I9" s="24" t="s">
        <v>160</v>
      </c>
      <c r="J9" s="24" t="s">
        <v>258</v>
      </c>
      <c r="K9" s="25" t="n">
        <v>210000</v>
      </c>
      <c r="L9" s="26" t="s">
        <v>207</v>
      </c>
      <c r="M9" s="27" t="s">
        <v>208</v>
      </c>
    </row>
    <row r="10" customFormat="false" ht="15" hidden="false" customHeight="false" outlineLevel="0" collapsed="false">
      <c r="A10" s="8" t="s">
        <v>259</v>
      </c>
      <c r="B10" s="8" t="s">
        <v>260</v>
      </c>
      <c r="C10" s="8" t="s">
        <v>261</v>
      </c>
      <c r="D10" s="8" t="s">
        <v>262</v>
      </c>
      <c r="E10" s="8" t="s">
        <v>263</v>
      </c>
      <c r="F10" s="8" t="s">
        <v>108</v>
      </c>
      <c r="G10" s="8" t="s">
        <v>214</v>
      </c>
      <c r="H10" s="8" t="s">
        <v>264</v>
      </c>
      <c r="I10" s="9" t="s">
        <v>206</v>
      </c>
      <c r="J10" s="9" t="s">
        <v>265</v>
      </c>
      <c r="K10" s="10" t="n">
        <v>290000</v>
      </c>
      <c r="L10" s="28" t="s">
        <v>217</v>
      </c>
      <c r="M10" s="29" t="s">
        <v>266</v>
      </c>
    </row>
    <row r="11" customFormat="false" ht="15" hidden="false" customHeight="false" outlineLevel="0" collapsed="false">
      <c r="A11" s="23" t="s">
        <v>267</v>
      </c>
      <c r="B11" s="23" t="s">
        <v>268</v>
      </c>
      <c r="C11" s="23" t="s">
        <v>269</v>
      </c>
      <c r="D11" s="23" t="s">
        <v>270</v>
      </c>
      <c r="E11" s="23" t="s">
        <v>271</v>
      </c>
      <c r="F11" s="23" t="s">
        <v>90</v>
      </c>
      <c r="G11" s="23" t="s">
        <v>272</v>
      </c>
      <c r="H11" s="23" t="s">
        <v>273</v>
      </c>
      <c r="I11" s="24" t="s">
        <v>181</v>
      </c>
      <c r="J11" s="24" t="s">
        <v>274</v>
      </c>
      <c r="K11" s="25" t="n">
        <v>950000</v>
      </c>
      <c r="L11" s="30" t="s">
        <v>217</v>
      </c>
      <c r="M11" s="27" t="s">
        <v>218</v>
      </c>
    </row>
    <row r="12" customFormat="false" ht="15" hidden="false" customHeight="false" outlineLevel="0" collapsed="false">
      <c r="A12" s="8" t="s">
        <v>275</v>
      </c>
      <c r="B12" s="8" t="s">
        <v>276</v>
      </c>
      <c r="C12" s="8" t="s">
        <v>277</v>
      </c>
      <c r="D12" s="8" t="s">
        <v>278</v>
      </c>
      <c r="E12" s="8" t="s">
        <v>279</v>
      </c>
      <c r="F12" s="8" t="s">
        <v>100</v>
      </c>
      <c r="G12" s="8" t="s">
        <v>203</v>
      </c>
      <c r="H12" s="8" t="s">
        <v>280</v>
      </c>
      <c r="I12" s="9" t="s">
        <v>281</v>
      </c>
      <c r="J12" s="9" t="s">
        <v>282</v>
      </c>
      <c r="K12" s="10" t="n">
        <v>175000</v>
      </c>
      <c r="L12" s="28" t="s">
        <v>217</v>
      </c>
      <c r="M12" s="29" t="s">
        <v>218</v>
      </c>
    </row>
    <row r="13" customFormat="false" ht="15" hidden="false" customHeight="false" outlineLevel="0" collapsed="false">
      <c r="A13" s="23" t="s">
        <v>283</v>
      </c>
      <c r="B13" s="23" t="s">
        <v>284</v>
      </c>
      <c r="C13" s="23" t="s">
        <v>285</v>
      </c>
      <c r="D13" s="23" t="s">
        <v>286</v>
      </c>
      <c r="E13" s="23" t="s">
        <v>287</v>
      </c>
      <c r="F13" s="23" t="s">
        <v>116</v>
      </c>
      <c r="G13" s="23" t="s">
        <v>214</v>
      </c>
      <c r="H13" s="23" t="s">
        <v>288</v>
      </c>
      <c r="I13" s="24" t="s">
        <v>289</v>
      </c>
      <c r="J13" s="24" t="s">
        <v>290</v>
      </c>
      <c r="K13" s="25" t="n">
        <v>320000</v>
      </c>
      <c r="L13" s="31" t="s">
        <v>291</v>
      </c>
      <c r="M13" s="32" t="s">
        <v>292</v>
      </c>
    </row>
    <row r="14" customFormat="false" ht="15" hidden="false" customHeight="false" outlineLevel="0" collapsed="false">
      <c r="A14" s="8" t="s">
        <v>293</v>
      </c>
      <c r="B14" s="8" t="s">
        <v>294</v>
      </c>
      <c r="C14" s="8" t="s">
        <v>295</v>
      </c>
      <c r="D14" s="8" t="s">
        <v>296</v>
      </c>
      <c r="E14" s="8" t="s">
        <v>297</v>
      </c>
      <c r="F14" s="8" t="s">
        <v>131</v>
      </c>
      <c r="G14" s="8" t="s">
        <v>224</v>
      </c>
      <c r="H14" s="8" t="s">
        <v>298</v>
      </c>
      <c r="I14" s="9" t="s">
        <v>258</v>
      </c>
      <c r="J14" s="9" t="s">
        <v>299</v>
      </c>
      <c r="K14" s="10" t="n">
        <v>480000</v>
      </c>
      <c r="L14" s="33" t="s">
        <v>291</v>
      </c>
      <c r="M14" s="34" t="s">
        <v>292</v>
      </c>
    </row>
    <row r="15" customFormat="false" ht="15" hidden="false" customHeight="false" outlineLevel="0" collapsed="false">
      <c r="A15" s="23" t="s">
        <v>300</v>
      </c>
      <c r="B15" s="23" t="s">
        <v>301</v>
      </c>
      <c r="C15" s="23" t="s">
        <v>161</v>
      </c>
      <c r="D15" s="23" t="s">
        <v>302</v>
      </c>
      <c r="E15" s="23" t="s">
        <v>303</v>
      </c>
      <c r="F15" s="23" t="s">
        <v>40</v>
      </c>
      <c r="G15" s="23" t="s">
        <v>233</v>
      </c>
      <c r="H15" s="23" t="s">
        <v>304</v>
      </c>
      <c r="I15" s="24" t="s">
        <v>305</v>
      </c>
      <c r="J15" s="24" t="s">
        <v>306</v>
      </c>
      <c r="K15" s="25" t="n">
        <v>120000</v>
      </c>
      <c r="L15" s="30" t="s">
        <v>217</v>
      </c>
      <c r="M15" s="27" t="s">
        <v>208</v>
      </c>
    </row>
    <row r="16" customFormat="false" ht="15" hidden="false" customHeight="false" outlineLevel="0" collapsed="false">
      <c r="A16" s="8" t="s">
        <v>307</v>
      </c>
      <c r="B16" s="8" t="s">
        <v>308</v>
      </c>
      <c r="C16" s="8" t="s">
        <v>309</v>
      </c>
      <c r="D16" s="8" t="s">
        <v>310</v>
      </c>
      <c r="E16" s="8" t="s">
        <v>311</v>
      </c>
      <c r="F16" s="8" t="s">
        <v>51</v>
      </c>
      <c r="G16" s="8" t="s">
        <v>272</v>
      </c>
      <c r="H16" s="8" t="s">
        <v>312</v>
      </c>
      <c r="I16" s="9" t="s">
        <v>242</v>
      </c>
      <c r="J16" s="9" t="s">
        <v>313</v>
      </c>
      <c r="K16" s="10" t="n">
        <v>1200000</v>
      </c>
      <c r="L16" s="33" t="s">
        <v>291</v>
      </c>
      <c r="M16" s="34" t="s">
        <v>292</v>
      </c>
    </row>
    <row r="17" customFormat="false" ht="15" hidden="false" customHeight="false" outlineLevel="0" collapsed="false">
      <c r="A17" s="23" t="s">
        <v>314</v>
      </c>
      <c r="B17" s="23" t="s">
        <v>315</v>
      </c>
      <c r="C17" s="23" t="s">
        <v>316</v>
      </c>
      <c r="D17" s="23" t="s">
        <v>317</v>
      </c>
      <c r="E17" s="23" t="s">
        <v>318</v>
      </c>
      <c r="F17" s="23" t="s">
        <v>20</v>
      </c>
      <c r="G17" s="23" t="s">
        <v>248</v>
      </c>
      <c r="H17" s="23" t="s">
        <v>319</v>
      </c>
      <c r="I17" s="24" t="s">
        <v>320</v>
      </c>
      <c r="J17" s="24" t="s">
        <v>321</v>
      </c>
      <c r="K17" s="25" t="n">
        <v>750000</v>
      </c>
      <c r="L17" s="30" t="s">
        <v>217</v>
      </c>
      <c r="M17" s="27" t="s">
        <v>218</v>
      </c>
    </row>
    <row r="18" customFormat="false" ht="15" hidden="false" customHeight="false" outlineLevel="0" collapsed="false">
      <c r="A18" s="8" t="s">
        <v>322</v>
      </c>
      <c r="B18" s="8" t="s">
        <v>323</v>
      </c>
      <c r="C18" s="8" t="s">
        <v>324</v>
      </c>
      <c r="D18" s="8" t="s">
        <v>325</v>
      </c>
      <c r="E18" s="8" t="s">
        <v>326</v>
      </c>
      <c r="F18" s="8" t="s">
        <v>31</v>
      </c>
      <c r="G18" s="8" t="s">
        <v>203</v>
      </c>
      <c r="H18" s="8" t="s">
        <v>327</v>
      </c>
      <c r="I18" s="9" t="s">
        <v>328</v>
      </c>
      <c r="J18" s="9" t="s">
        <v>329</v>
      </c>
      <c r="K18" s="10" t="n">
        <v>260000</v>
      </c>
      <c r="L18" s="33" t="s">
        <v>291</v>
      </c>
      <c r="M18" s="34" t="s">
        <v>292</v>
      </c>
    </row>
    <row r="19" customFormat="false" ht="15" hidden="false" customHeight="false" outlineLevel="0" collapsed="false">
      <c r="A19" s="23" t="s">
        <v>330</v>
      </c>
      <c r="B19" s="23" t="s">
        <v>331</v>
      </c>
      <c r="C19" s="23" t="s">
        <v>332</v>
      </c>
      <c r="D19" s="23" t="s">
        <v>333</v>
      </c>
      <c r="E19" s="23" t="s">
        <v>334</v>
      </c>
      <c r="F19" s="23" t="s">
        <v>90</v>
      </c>
      <c r="G19" s="23" t="s">
        <v>214</v>
      </c>
      <c r="H19" s="23" t="s">
        <v>335</v>
      </c>
      <c r="I19" s="24" t="s">
        <v>336</v>
      </c>
      <c r="J19" s="24" t="s">
        <v>299</v>
      </c>
      <c r="K19" s="25" t="n">
        <v>380000</v>
      </c>
      <c r="L19" s="31" t="s">
        <v>291</v>
      </c>
      <c r="M19" s="32" t="s">
        <v>292</v>
      </c>
    </row>
    <row r="20" customFormat="false" ht="15" hidden="false" customHeight="false" outlineLevel="0" collapsed="false">
      <c r="A20" s="8" t="s">
        <v>337</v>
      </c>
      <c r="B20" s="8" t="s">
        <v>338</v>
      </c>
      <c r="C20" s="8" t="s">
        <v>339</v>
      </c>
      <c r="D20" s="8" t="s">
        <v>340</v>
      </c>
      <c r="E20" s="8" t="s">
        <v>341</v>
      </c>
      <c r="F20" s="8" t="s">
        <v>61</v>
      </c>
      <c r="G20" s="8" t="s">
        <v>233</v>
      </c>
      <c r="H20" s="8" t="s">
        <v>342</v>
      </c>
      <c r="I20" s="9" t="s">
        <v>306</v>
      </c>
      <c r="J20" s="9" t="s">
        <v>265</v>
      </c>
      <c r="K20" s="10" t="n">
        <v>145000</v>
      </c>
      <c r="L20" s="33" t="s">
        <v>291</v>
      </c>
      <c r="M20" s="34" t="s">
        <v>292</v>
      </c>
    </row>
    <row r="21" customFormat="false" ht="15" hidden="false" customHeight="false" outlineLevel="0" collapsed="false">
      <c r="A21" s="23" t="s">
        <v>343</v>
      </c>
      <c r="B21" s="23" t="s">
        <v>344</v>
      </c>
      <c r="C21" s="23" t="s">
        <v>345</v>
      </c>
      <c r="D21" s="23" t="s">
        <v>346</v>
      </c>
      <c r="E21" s="23" t="s">
        <v>347</v>
      </c>
      <c r="F21" s="23" t="s">
        <v>148</v>
      </c>
      <c r="G21" s="23" t="s">
        <v>256</v>
      </c>
      <c r="H21" s="23" t="s">
        <v>348</v>
      </c>
      <c r="I21" s="24" t="s">
        <v>349</v>
      </c>
      <c r="J21" s="24" t="s">
        <v>350</v>
      </c>
      <c r="K21" s="25" t="n">
        <v>425000</v>
      </c>
      <c r="L21" s="31" t="s">
        <v>291</v>
      </c>
      <c r="M21" s="32" t="s">
        <v>292</v>
      </c>
    </row>
    <row r="22" customFormat="false" ht="15" hidden="false" customHeight="false" outlineLevel="0" collapsed="false">
      <c r="A22" s="8" t="s">
        <v>351</v>
      </c>
      <c r="B22" s="8" t="s">
        <v>352</v>
      </c>
      <c r="C22" s="8" t="s">
        <v>353</v>
      </c>
      <c r="D22" s="8" t="s">
        <v>354</v>
      </c>
      <c r="E22" s="8" t="s">
        <v>355</v>
      </c>
      <c r="F22" s="8" t="s">
        <v>81</v>
      </c>
      <c r="G22" s="8" t="s">
        <v>214</v>
      </c>
      <c r="H22" s="8" t="s">
        <v>356</v>
      </c>
      <c r="I22" s="9" t="s">
        <v>357</v>
      </c>
      <c r="J22" s="9" t="s">
        <v>313</v>
      </c>
      <c r="K22" s="10" t="n">
        <v>620000</v>
      </c>
      <c r="L22" s="33" t="s">
        <v>291</v>
      </c>
      <c r="M22" s="34" t="s">
        <v>292</v>
      </c>
    </row>
    <row r="23" customFormat="false" ht="21.75" hidden="false" customHeight="true" outlineLevel="0" collapsed="false">
      <c r="A23" s="35" t="s">
        <v>187</v>
      </c>
      <c r="B23" s="36"/>
      <c r="C23" s="36"/>
      <c r="D23" s="36"/>
      <c r="E23" s="36"/>
      <c r="F23" s="36"/>
      <c r="G23" s="36"/>
      <c r="H23" s="36"/>
      <c r="I23" s="36"/>
      <c r="J23" s="36"/>
      <c r="K23" s="19" t="n">
        <f aca="false">SUM(K3:K22)</f>
        <v>8290000</v>
      </c>
      <c r="L23" s="36"/>
      <c r="M23" s="36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2"/>
  </cols>
  <sheetData>
    <row r="1" customFormat="false" ht="36" hidden="false" customHeight="true" outlineLevel="0" collapsed="false">
      <c r="A1" s="37" t="s">
        <v>358</v>
      </c>
      <c r="B1" s="37"/>
      <c r="C1" s="37"/>
      <c r="D1" s="37"/>
    </row>
    <row r="2" customFormat="false" ht="21.75" hidden="false" customHeight="true" outlineLevel="0" collapsed="false">
      <c r="A2" s="38" t="s">
        <v>359</v>
      </c>
      <c r="B2" s="38"/>
      <c r="C2" s="38"/>
      <c r="D2" s="38"/>
    </row>
    <row r="3" customFormat="false" ht="24" hidden="false" customHeight="true" outlineLevel="0" collapsed="false">
      <c r="A3" s="39" t="s">
        <v>360</v>
      </c>
      <c r="B3" s="40" t="n">
        <f aca="false">COUNTA('Ecommerce Orders'!A3:A22)</f>
        <v>20</v>
      </c>
    </row>
    <row r="4" customFormat="false" ht="24" hidden="false" customHeight="true" outlineLevel="0" collapsed="false">
      <c r="A4" s="39" t="s">
        <v>361</v>
      </c>
      <c r="B4" s="41" t="n">
        <f aca="false">SUM('Ecommerce Orders'!M3:M22)</f>
        <v>149351</v>
      </c>
    </row>
    <row r="5" customFormat="false" ht="24" hidden="false" customHeight="true" outlineLevel="0" collapsed="false">
      <c r="A5" s="39" t="s">
        <v>362</v>
      </c>
      <c r="B5" s="41" t="n">
        <f aca="false">AVERAGE('Ecommerce Orders'!M3:M22)</f>
        <v>7467.55</v>
      </c>
    </row>
    <row r="6" customFormat="false" ht="24" hidden="false" customHeight="true" outlineLevel="0" collapsed="false">
      <c r="A6" s="39" t="s">
        <v>363</v>
      </c>
      <c r="B6" s="40" t="n">
        <f aca="false">COUNTIF('Ecommerce Orders'!N3:N22,"Delivered")</f>
        <v>13</v>
      </c>
    </row>
    <row r="7" customFormat="false" ht="24" hidden="false" customHeight="true" outlineLevel="0" collapsed="false">
      <c r="A7" s="39" t="s">
        <v>364</v>
      </c>
      <c r="B7" s="40" t="n">
        <f aca="false">COUNTIF('Ecommerce Orders'!N3:N22,"Cancelled")+COUNTIF('Ecommerce Orders'!N3:N22,"Returned")</f>
        <v>2</v>
      </c>
    </row>
    <row r="8" customFormat="false" ht="9.75" hidden="false" customHeight="true" outlineLevel="0" collapsed="false"/>
    <row r="9" customFormat="false" ht="21.75" hidden="false" customHeight="true" outlineLevel="0" collapsed="false">
      <c r="A9" s="42" t="s">
        <v>365</v>
      </c>
      <c r="B9" s="42"/>
      <c r="C9" s="42"/>
      <c r="D9" s="42"/>
    </row>
    <row r="10" customFormat="false" ht="24" hidden="false" customHeight="true" outlineLevel="0" collapsed="false">
      <c r="A10" s="43" t="s">
        <v>366</v>
      </c>
      <c r="B10" s="40" t="n">
        <f aca="false">COUNTA('IT Solution Clients'!A3:A22)</f>
        <v>20</v>
      </c>
    </row>
    <row r="11" customFormat="false" ht="24" hidden="false" customHeight="true" outlineLevel="0" collapsed="false">
      <c r="A11" s="43" t="s">
        <v>367</v>
      </c>
      <c r="B11" s="41" t="n">
        <f aca="false">SUM('IT Solution Clients'!K3:K22)</f>
        <v>8290000</v>
      </c>
    </row>
    <row r="12" customFormat="false" ht="24" hidden="false" customHeight="true" outlineLevel="0" collapsed="false">
      <c r="A12" s="43" t="s">
        <v>368</v>
      </c>
      <c r="B12" s="41" t="n">
        <f aca="false">AVERAGE('IT Solution Clients'!K3:K22)</f>
        <v>414500</v>
      </c>
    </row>
    <row r="13" customFormat="false" ht="24" hidden="false" customHeight="true" outlineLevel="0" collapsed="false">
      <c r="A13" s="43" t="s">
        <v>369</v>
      </c>
      <c r="B13" s="40" t="n">
        <f aca="false">COUNTIF('IT Solution Clients'!L3:L22,"Completed")</f>
        <v>4</v>
      </c>
    </row>
    <row r="14" customFormat="false" ht="24" hidden="false" customHeight="true" outlineLevel="0" collapsed="false">
      <c r="A14" s="43" t="s">
        <v>370</v>
      </c>
      <c r="B14" s="40" t="n">
        <f aca="false">COUNTIF('IT Solution Clients'!L3:L22,"In Progress")</f>
        <v>8</v>
      </c>
    </row>
    <row r="15" customFormat="false" ht="24" hidden="false" customHeight="true" outlineLevel="0" collapsed="false">
      <c r="A15" s="43" t="s">
        <v>371</v>
      </c>
      <c r="B15" s="40" t="n">
        <f aca="false">COUNTIF('IT Solution Clients'!L3:L22,"Planned")</f>
        <v>8</v>
      </c>
    </row>
  </sheetData>
  <mergeCells count="3">
    <mergeCell ref="A1:D1"/>
    <mergeCell ref="A2:D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2026-05-07T12:46:54Z</dcterms:created>
  <dc:creator>openpyxl</dc:creator>
  <dc:description/>
  <dc:language>en-US</dc:language>
  <cp:lastModifiedBy/>
  <dcterms:modified xsi:type="dcterms:W3CDTF">2026-05-07T12:46:54Z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